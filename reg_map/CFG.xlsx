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227"/>
  <workbookPr/>
  <mc:AlternateContent xmlns:mc="http://schemas.openxmlformats.org/markup-compatibility/2006">
    <mc:Choice Requires="x15">
      <x15ac:absPath xmlns:x15ac="http://schemas.microsoft.com/office/spreadsheetml/2010/11/ac" url="E:\FPGA_code\Verilog_base_module\reg_map\"/>
    </mc:Choice>
  </mc:AlternateContent>
  <xr:revisionPtr revIDLastSave="0" documentId="13_ncr:1_{22593234-FA35-49E9-9730-D92042E4267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test" sheetId="5" r:id="rId1"/>
  </sheets>
  <calcPr calcId="181029"/>
</workbook>
</file>

<file path=xl/calcChain.xml><?xml version="1.0" encoding="utf-8"?>
<calcChain xmlns="http://schemas.openxmlformats.org/spreadsheetml/2006/main">
  <c r="B10" i="5" l="1"/>
  <c r="B9" i="5"/>
  <c r="B3" i="5"/>
  <c r="B4" i="5"/>
  <c r="G13" i="5"/>
  <c r="H13" i="5" s="1"/>
  <c r="G12" i="5"/>
  <c r="H12" i="5" s="1"/>
  <c r="G11" i="5"/>
  <c r="H11" i="5" s="1"/>
  <c r="G10" i="5"/>
  <c r="H10" i="5" s="1"/>
  <c r="G9" i="5"/>
  <c r="H9" i="5" s="1"/>
  <c r="G7" i="5"/>
  <c r="H7" i="5" s="1"/>
  <c r="G6" i="5"/>
  <c r="H6" i="5" s="1"/>
  <c r="G5" i="5"/>
  <c r="H5" i="5" s="1"/>
  <c r="G4" i="5"/>
  <c r="H4" i="5" s="1"/>
  <c r="G3" i="5"/>
  <c r="H3" i="5" s="1"/>
</calcChain>
</file>

<file path=xl/sharedStrings.xml><?xml version="1.0" encoding="utf-8"?>
<sst xmlns="http://schemas.openxmlformats.org/spreadsheetml/2006/main" count="58" uniqueCount="40">
  <si>
    <t>Base
Address</t>
  </si>
  <si>
    <t>Offset
Address</t>
  </si>
  <si>
    <t>RegName</t>
  </si>
  <si>
    <t>Width</t>
  </si>
  <si>
    <t>Bits</t>
  </si>
  <si>
    <t>ValueRange</t>
  </si>
  <si>
    <t>FieldName</t>
  </si>
  <si>
    <t>Access</t>
  </si>
  <si>
    <t>Shadow</t>
  </si>
  <si>
    <t>ResetValue</t>
  </si>
  <si>
    <t>Description</t>
  </si>
  <si>
    <t>High</t>
  </si>
  <si>
    <t>Low</t>
  </si>
  <si>
    <t>Len</t>
  </si>
  <si>
    <t>Max</t>
  </si>
  <si>
    <t>Min</t>
  </si>
  <si>
    <t>RegAccess</t>
  </si>
  <si>
    <t>FiledAccess</t>
  </si>
  <si>
    <t>cxz</t>
  </si>
  <si>
    <t>RW</t>
  </si>
  <si>
    <t>32'b0</t>
  </si>
  <si>
    <t>fld_wsrc_sgl</t>
  </si>
  <si>
    <t>WSRC</t>
  </si>
  <si>
    <t>1'b0</t>
  </si>
  <si>
    <t>fld_wsrc_bus</t>
  </si>
  <si>
    <t>3'b0</t>
  </si>
  <si>
    <t>fld_wcrs_sgl</t>
  </si>
  <si>
    <t>WCRS</t>
  </si>
  <si>
    <t>fld_wcrs_bus</t>
  </si>
  <si>
    <t>27'b0</t>
  </si>
  <si>
    <t>cxz1</t>
    <phoneticPr fontId="4" type="noConversion"/>
  </si>
  <si>
    <t>fld_wsrc_sgl1</t>
    <phoneticPr fontId="4" type="noConversion"/>
  </si>
  <si>
    <t>fld_wsrc_bus1</t>
    <phoneticPr fontId="4" type="noConversion"/>
  </si>
  <si>
    <t>fld_wcrs_sgl1</t>
    <phoneticPr fontId="4" type="noConversion"/>
  </si>
  <si>
    <t>fld_wcrs_bus1</t>
    <phoneticPr fontId="4" type="noConversion"/>
  </si>
  <si>
    <t>tmplreg001</t>
    <phoneticPr fontId="4" type="noConversion"/>
  </si>
  <si>
    <t>tmplreg002</t>
    <phoneticPr fontId="4" type="noConversion"/>
  </si>
  <si>
    <t>tmplreg003</t>
    <phoneticPr fontId="4" type="noConversion"/>
  </si>
  <si>
    <t>0x0000_0000</t>
    <phoneticPr fontId="4" type="noConversion"/>
  </si>
  <si>
    <t>tmplreg000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</si>
</sst>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charset val="134"/>
      <scheme val="minor"/>
    </font>
    <font>
      <b/>
      <sz val="12"/>
      <color theme="1"/>
      <name val="Times New Roman"/>
      <family val="1"/>
    </font>
    <font>
      <sz val="14"/>
      <color theme="1"/>
      <name val="等线"/>
      <charset val="134"/>
      <scheme val="minor"/>
    </font>
    <font>
      <b/>
      <sz val="11"/>
      <color theme="1"/>
      <name val="Times New Roman"/>
      <family val="1"/>
    </font>
    <font>
      <sz val="9"/>
      <name val="等线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/>
    <xf numFmtId="0" fontId="2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</cellXfs>
  <cellStyles count="1">
    <cellStyle name="常规" xfId="0" builtinId="0"/>
  </cellStyles>
  <dxfs count="2">
    <dxf>
      <fill>
        <patternFill patternType="solid">
          <bgColor theme="8" tint="0.39991454817346722"/>
        </patternFill>
      </fill>
    </dxf>
    <dxf>
      <fill>
        <patternFill patternType="solid"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3"/>
  <sheetViews>
    <sheetView tabSelected="1" workbookViewId="0">
      <pane ySplit="2" topLeftCell="A3" activePane="bottomLeft" state="frozen"/>
      <selection pane="bottomLeft" activeCell="J26" sqref="J26"/>
    </sheetView>
  </sheetViews>
  <sheetFormatPr defaultColWidth="9" defaultRowHeight="14.25" x14ac:dyDescent="0.2"/>
  <cols>
    <col min="1" max="1" width="14.5" customWidth="1"/>
    <col min="2" max="2" width="8.625" customWidth="1"/>
    <col min="3" max="3" width="15.625" customWidth="1"/>
    <col min="8" max="8" width="27.25" customWidth="1"/>
    <col min="10" max="10" width="20.625" customWidth="1"/>
    <col min="11" max="13" width="10.625" customWidth="1"/>
    <col min="14" max="14" width="10.625" style="1" customWidth="1"/>
    <col min="15" max="15" width="50.625" customWidth="1"/>
  </cols>
  <sheetData>
    <row r="1" spans="1:15" ht="15.75" x14ac:dyDescent="0.2">
      <c r="A1" s="10" t="s">
        <v>0</v>
      </c>
      <c r="B1" s="10" t="s">
        <v>1</v>
      </c>
      <c r="C1" s="7" t="s">
        <v>2</v>
      </c>
      <c r="D1" s="7" t="s">
        <v>3</v>
      </c>
      <c r="E1" s="7" t="s">
        <v>4</v>
      </c>
      <c r="F1" s="7"/>
      <c r="G1" s="7"/>
      <c r="H1" s="8" t="s">
        <v>5</v>
      </c>
      <c r="I1" s="9"/>
      <c r="J1" s="7" t="s">
        <v>6</v>
      </c>
      <c r="K1" s="7" t="s">
        <v>7</v>
      </c>
      <c r="L1" s="7"/>
      <c r="M1" s="11" t="s">
        <v>8</v>
      </c>
      <c r="N1" s="7" t="s">
        <v>9</v>
      </c>
      <c r="O1" s="13" t="s">
        <v>10</v>
      </c>
    </row>
    <row r="2" spans="1:15" ht="15.75" x14ac:dyDescent="0.2">
      <c r="A2" s="7"/>
      <c r="B2" s="7"/>
      <c r="C2" s="7"/>
      <c r="D2" s="7"/>
      <c r="E2" s="2" t="s">
        <v>11</v>
      </c>
      <c r="F2" s="2" t="s">
        <v>12</v>
      </c>
      <c r="G2" s="2" t="s">
        <v>13</v>
      </c>
      <c r="H2" s="2" t="s">
        <v>14</v>
      </c>
      <c r="I2" s="2" t="s">
        <v>15</v>
      </c>
      <c r="J2" s="7"/>
      <c r="K2" s="2" t="s">
        <v>16</v>
      </c>
      <c r="L2" s="2" t="s">
        <v>17</v>
      </c>
      <c r="M2" s="12"/>
      <c r="N2" s="7"/>
      <c r="O2" s="13"/>
    </row>
    <row r="3" spans="1:15" ht="18" x14ac:dyDescent="0.25">
      <c r="A3" s="6" t="s">
        <v>38</v>
      </c>
      <c r="B3" s="3" t="str">
        <f>CONCATENATE("0x",REPT(0,3-LEN(DEC2HEX(HEX2DEC(RIGHT(C3, 3))*4)))&amp;DEC2HEX(HEX2DEC(RIGHT(C3, 3))*4))</f>
        <v>0x000</v>
      </c>
      <c r="C3" s="3" t="s">
        <v>39</v>
      </c>
      <c r="D3" s="4">
        <v>32</v>
      </c>
      <c r="E3" s="3">
        <v>31</v>
      </c>
      <c r="F3" s="3">
        <v>0</v>
      </c>
      <c r="G3" s="3">
        <f>IF(OR(ISBLANK(E3),ISBLANK(F3)),1,IF((E3-F3)&lt;0,0,E3-F3)+1)</f>
        <v>32</v>
      </c>
      <c r="H3" s="3">
        <f>POWER(2,G3)-1</f>
        <v>4294967295</v>
      </c>
      <c r="I3" s="3">
        <v>0</v>
      </c>
      <c r="J3" s="4" t="s">
        <v>18</v>
      </c>
      <c r="K3" s="3" t="s">
        <v>19</v>
      </c>
      <c r="L3" s="3" t="s">
        <v>19</v>
      </c>
      <c r="M3" s="4"/>
      <c r="N3" s="4" t="s">
        <v>20</v>
      </c>
      <c r="O3" s="5"/>
    </row>
    <row r="4" spans="1:15" ht="18" x14ac:dyDescent="0.25">
      <c r="A4" s="6"/>
      <c r="B4" s="14" t="str">
        <f>CONCATENATE("0x",REPT(0,3-LEN(DEC2HEX(HEX2DEC(RIGHT(C4, 3))*4)))&amp;DEC2HEX(HEX2DEC(RIGHT(C4, 3))*4))</f>
        <v>0x004</v>
      </c>
      <c r="C4" s="14" t="s">
        <v>35</v>
      </c>
      <c r="D4" s="4"/>
      <c r="E4" s="3">
        <v>31</v>
      </c>
      <c r="F4" s="3"/>
      <c r="G4" s="3">
        <f t="shared" ref="G4:G7" si="0">IF(OR(ISBLANK(E4),ISBLANK(F4)),1,IF((E4-F4)&lt;0,0,E4-F4)+1)</f>
        <v>1</v>
      </c>
      <c r="H4" s="3">
        <f t="shared" ref="H4:H7" si="1">POWER(2,G4)-1</f>
        <v>1</v>
      </c>
      <c r="I4" s="3">
        <v>0</v>
      </c>
      <c r="J4" s="4" t="s">
        <v>21</v>
      </c>
      <c r="K4" s="6" t="s">
        <v>19</v>
      </c>
      <c r="L4" s="4" t="s">
        <v>22</v>
      </c>
      <c r="M4" s="4"/>
      <c r="N4" s="4" t="s">
        <v>23</v>
      </c>
      <c r="O4" s="5"/>
    </row>
    <row r="5" spans="1:15" ht="18" x14ac:dyDescent="0.25">
      <c r="A5" s="6"/>
      <c r="B5" s="15"/>
      <c r="C5" s="15"/>
      <c r="D5" s="4"/>
      <c r="E5" s="3">
        <v>30</v>
      </c>
      <c r="F5" s="3">
        <v>28</v>
      </c>
      <c r="G5" s="3">
        <f t="shared" si="0"/>
        <v>3</v>
      </c>
      <c r="H5" s="3">
        <f t="shared" si="1"/>
        <v>7</v>
      </c>
      <c r="I5" s="3">
        <v>0</v>
      </c>
      <c r="J5" s="4" t="s">
        <v>24</v>
      </c>
      <c r="K5" s="6"/>
      <c r="L5" s="4" t="s">
        <v>22</v>
      </c>
      <c r="M5" s="4"/>
      <c r="N5" s="4" t="s">
        <v>25</v>
      </c>
      <c r="O5" s="5"/>
    </row>
    <row r="6" spans="1:15" ht="18" x14ac:dyDescent="0.25">
      <c r="A6" s="6"/>
      <c r="B6" s="15"/>
      <c r="C6" s="15"/>
      <c r="D6" s="4"/>
      <c r="E6" s="3">
        <v>27</v>
      </c>
      <c r="F6" s="3">
        <v>27</v>
      </c>
      <c r="G6" s="3">
        <f t="shared" si="0"/>
        <v>1</v>
      </c>
      <c r="H6" s="3">
        <f t="shared" si="1"/>
        <v>1</v>
      </c>
      <c r="I6" s="3">
        <v>0</v>
      </c>
      <c r="J6" s="4" t="s">
        <v>26</v>
      </c>
      <c r="K6" s="6"/>
      <c r="L6" s="4" t="s">
        <v>27</v>
      </c>
      <c r="M6" s="4"/>
      <c r="N6" s="4" t="s">
        <v>23</v>
      </c>
      <c r="O6" s="5"/>
    </row>
    <row r="7" spans="1:15" ht="18" x14ac:dyDescent="0.25">
      <c r="A7" s="6"/>
      <c r="B7" s="16"/>
      <c r="C7" s="16"/>
      <c r="D7" s="4"/>
      <c r="E7" s="3">
        <v>26</v>
      </c>
      <c r="F7" s="3">
        <v>0</v>
      </c>
      <c r="G7" s="3">
        <f t="shared" si="0"/>
        <v>27</v>
      </c>
      <c r="H7" s="3">
        <f t="shared" si="1"/>
        <v>134217727</v>
      </c>
      <c r="I7" s="3">
        <v>0</v>
      </c>
      <c r="J7" s="4" t="s">
        <v>28</v>
      </c>
      <c r="K7" s="6"/>
      <c r="L7" s="4" t="s">
        <v>27</v>
      </c>
      <c r="M7" s="4"/>
      <c r="N7" s="4" t="s">
        <v>29</v>
      </c>
      <c r="O7" s="5"/>
    </row>
    <row r="8" spans="1:15" ht="18" x14ac:dyDescent="0.25">
      <c r="A8" s="3"/>
      <c r="B8" s="3"/>
      <c r="C8" s="3"/>
      <c r="D8" s="4"/>
      <c r="E8" s="3"/>
      <c r="F8" s="3"/>
      <c r="G8" s="3"/>
      <c r="H8" s="3"/>
      <c r="I8" s="3"/>
      <c r="J8" s="4"/>
      <c r="K8" s="3"/>
      <c r="L8" s="4"/>
      <c r="M8" s="4"/>
      <c r="N8" s="4"/>
      <c r="O8" s="5"/>
    </row>
    <row r="9" spans="1:15" ht="18" x14ac:dyDescent="0.25">
      <c r="A9" s="6" t="s">
        <v>38</v>
      </c>
      <c r="B9" s="3" t="str">
        <f t="shared" ref="B9:B10" si="2">CONCATENATE("0x",REPT(0,3-LEN(DEC2HEX(HEX2DEC(RIGHT(C9, 3))*4)))&amp;DEC2HEX(HEX2DEC(RIGHT(C9, 3))*4))</f>
        <v>0x008</v>
      </c>
      <c r="C9" s="3" t="s">
        <v>36</v>
      </c>
      <c r="D9" s="4">
        <v>32</v>
      </c>
      <c r="E9" s="3">
        <v>31</v>
      </c>
      <c r="F9" s="3">
        <v>0</v>
      </c>
      <c r="G9" s="3">
        <f>IF(OR(ISBLANK(E9),ISBLANK(F9)),1,IF((E9-F9)&lt;0,0,E9-F9)+1)</f>
        <v>32</v>
      </c>
      <c r="H9" s="3">
        <f>POWER(2,G9)-1</f>
        <v>4294967295</v>
      </c>
      <c r="I9" s="3">
        <v>0</v>
      </c>
      <c r="J9" s="4" t="s">
        <v>30</v>
      </c>
      <c r="K9" s="3" t="s">
        <v>19</v>
      </c>
      <c r="L9" s="3" t="s">
        <v>19</v>
      </c>
      <c r="M9" s="4"/>
      <c r="N9" s="4" t="s">
        <v>20</v>
      </c>
      <c r="O9" s="5"/>
    </row>
    <row r="10" spans="1:15" ht="18" x14ac:dyDescent="0.25">
      <c r="A10" s="6"/>
      <c r="B10" s="14" t="str">
        <f>CONCATENATE("0x",REPT(0,3-LEN(DEC2HEX(HEX2DEC(RIGHT(C10, 3))*4)))&amp;DEC2HEX(HEX2DEC(RIGHT(C10, 3))*4))</f>
        <v>0x00C</v>
      </c>
      <c r="C10" s="6" t="s">
        <v>37</v>
      </c>
      <c r="D10" s="4"/>
      <c r="E10" s="3">
        <v>31</v>
      </c>
      <c r="F10" s="3"/>
      <c r="G10" s="3">
        <f t="shared" ref="G10:G13" si="3">IF(OR(ISBLANK(E10),ISBLANK(F10)),1,IF((E10-F10)&lt;0,0,E10-F10)+1)</f>
        <v>1</v>
      </c>
      <c r="H10" s="3">
        <f t="shared" ref="H10:H13" si="4">POWER(2,G10)-1</f>
        <v>1</v>
      </c>
      <c r="I10" s="3">
        <v>0</v>
      </c>
      <c r="J10" s="4" t="s">
        <v>31</v>
      </c>
      <c r="K10" s="6" t="s">
        <v>19</v>
      </c>
      <c r="L10" s="4" t="s">
        <v>22</v>
      </c>
      <c r="M10" s="4"/>
      <c r="N10" s="4" t="s">
        <v>23</v>
      </c>
      <c r="O10" s="5"/>
    </row>
    <row r="11" spans="1:15" ht="18" x14ac:dyDescent="0.25">
      <c r="A11" s="6"/>
      <c r="B11" s="15"/>
      <c r="C11" s="6"/>
      <c r="D11" s="4"/>
      <c r="E11" s="3">
        <v>30</v>
      </c>
      <c r="F11" s="3">
        <v>28</v>
      </c>
      <c r="G11" s="3">
        <f t="shared" si="3"/>
        <v>3</v>
      </c>
      <c r="H11" s="3">
        <f t="shared" si="4"/>
        <v>7</v>
      </c>
      <c r="I11" s="3">
        <v>0</v>
      </c>
      <c r="J11" s="4" t="s">
        <v>32</v>
      </c>
      <c r="K11" s="6"/>
      <c r="L11" s="4" t="s">
        <v>22</v>
      </c>
      <c r="M11" s="4"/>
      <c r="N11" s="4" t="s">
        <v>25</v>
      </c>
      <c r="O11" s="5"/>
    </row>
    <row r="12" spans="1:15" ht="18" x14ac:dyDescent="0.25">
      <c r="A12" s="6"/>
      <c r="B12" s="15"/>
      <c r="C12" s="6"/>
      <c r="D12" s="4"/>
      <c r="E12" s="3">
        <v>27</v>
      </c>
      <c r="F12" s="3">
        <v>27</v>
      </c>
      <c r="G12" s="3">
        <f t="shared" si="3"/>
        <v>1</v>
      </c>
      <c r="H12" s="3">
        <f t="shared" si="4"/>
        <v>1</v>
      </c>
      <c r="I12" s="3">
        <v>0</v>
      </c>
      <c r="J12" s="4" t="s">
        <v>33</v>
      </c>
      <c r="K12" s="6"/>
      <c r="L12" s="4" t="s">
        <v>27</v>
      </c>
      <c r="M12" s="4"/>
      <c r="N12" s="4" t="s">
        <v>23</v>
      </c>
      <c r="O12" s="5"/>
    </row>
    <row r="13" spans="1:15" ht="18" x14ac:dyDescent="0.25">
      <c r="A13" s="6"/>
      <c r="B13" s="16"/>
      <c r="C13" s="6"/>
      <c r="D13" s="4"/>
      <c r="E13" s="3">
        <v>26</v>
      </c>
      <c r="F13" s="3">
        <v>0</v>
      </c>
      <c r="G13" s="3">
        <f t="shared" si="3"/>
        <v>27</v>
      </c>
      <c r="H13" s="3">
        <f t="shared" si="4"/>
        <v>134217727</v>
      </c>
      <c r="I13" s="3">
        <v>0</v>
      </c>
      <c r="J13" s="4" t="s">
        <v>34</v>
      </c>
      <c r="K13" s="6"/>
      <c r="L13" s="4" t="s">
        <v>27</v>
      </c>
      <c r="M13" s="4"/>
      <c r="N13" s="4" t="s">
        <v>29</v>
      </c>
      <c r="O13" s="5"/>
    </row>
  </sheetData>
  <mergeCells count="19">
    <mergeCell ref="B10:B13"/>
    <mergeCell ref="M1:M2"/>
    <mergeCell ref="N1:N2"/>
    <mergeCell ref="O1:O2"/>
    <mergeCell ref="D1:D2"/>
    <mergeCell ref="J1:J2"/>
    <mergeCell ref="K10:K13"/>
    <mergeCell ref="E1:G1"/>
    <mergeCell ref="H1:I1"/>
    <mergeCell ref="K1:L1"/>
    <mergeCell ref="A1:A2"/>
    <mergeCell ref="A3:A7"/>
    <mergeCell ref="C1:C2"/>
    <mergeCell ref="C4:C7"/>
    <mergeCell ref="B1:B2"/>
    <mergeCell ref="A9:A13"/>
    <mergeCell ref="C10:C13"/>
    <mergeCell ref="K4:K7"/>
    <mergeCell ref="B4:B7"/>
  </mergeCells>
  <phoneticPr fontId="4" type="noConversion"/>
  <conditionalFormatting sqref="B3:O4 B8:O10 C5:O7 C11:O13">
    <cfRule type="expression" dxfId="1" priority="1">
      <formula>MOD(COUNTA($B$3:$B3),2)=0</formula>
    </cfRule>
    <cfRule type="expression" dxfId="0" priority="2">
      <formula>MOD(COUNTA($B$3:$B3),2)=1</formula>
    </cfRule>
  </conditionalFormatting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Luma</dc:creator>
  <cp:lastModifiedBy>xiongzhi chen</cp:lastModifiedBy>
  <dcterms:created xsi:type="dcterms:W3CDTF">2022-08-16T08:39:00Z</dcterms:created>
  <dcterms:modified xsi:type="dcterms:W3CDTF">2025-01-04T13:41:28Z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5504BA8EC27143068AF4B436A7B59CD6_12</vt:lpwstr>
  </property>
  <property fmtid="{D5CDD505-2E9C-101B-9397-08002B2CF9AE}" pid="3" name="KSOProductBuildVer">
    <vt:lpwstr>2052-12.1.0.18608</vt:lpwstr>
  </property>
</Properties>
</file>